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清洗后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14" customWidth="1" min="4" max="4"/>
    <col width="8" customWidth="1" min="5" max="5"/>
    <col width="6" customWidth="1" min="6" max="6"/>
    <col width="10" customWidth="1" min="7" max="7"/>
    <col width="12" customWidth="1" min="8" max="8"/>
    <col width="10" customWidth="1" min="9" max="9"/>
  </cols>
  <sheetData>
    <row r="1">
      <c r="A1" s="1" t="inlineStr">
        <is>
          <t>订单编号</t>
        </is>
      </c>
      <c r="B1" s="1" t="inlineStr">
        <is>
          <t>客户名称</t>
        </is>
      </c>
      <c r="C1" s="1" t="inlineStr">
        <is>
          <t>区域</t>
        </is>
      </c>
      <c r="D1" s="1" t="inlineStr">
        <is>
          <t>产品</t>
        </is>
      </c>
      <c r="E1" s="1" t="inlineStr">
        <is>
          <t>单价</t>
        </is>
      </c>
      <c r="F1" s="1" t="inlineStr">
        <is>
          <t>数量</t>
        </is>
      </c>
      <c r="G1" s="1" t="inlineStr">
        <is>
          <t>金额</t>
        </is>
      </c>
      <c r="H1" s="1" t="inlineStr">
        <is>
          <t>下单日期</t>
        </is>
      </c>
      <c r="I1" s="1" t="inlineStr">
        <is>
          <t>状态</t>
        </is>
      </c>
    </row>
    <row r="2">
      <c r="A2" t="inlineStr">
        <is>
          <t>SO-1001</t>
        </is>
      </c>
      <c r="B2" t="inlineStr">
        <is>
          <t>上海雅云商贸</t>
        </is>
      </c>
      <c r="C2" t="inlineStr">
        <is>
          <t>华东</t>
        </is>
      </c>
      <c r="D2" t="inlineStr">
        <is>
          <t>A4激光打印机</t>
        </is>
      </c>
      <c r="E2" t="n">
        <v>1200</v>
      </c>
      <c r="F2" t="n">
        <v>3</v>
      </c>
      <c r="G2" t="n">
        <v>3600</v>
      </c>
      <c r="H2" t="inlineStr">
        <is>
          <t>2026-10-08</t>
        </is>
      </c>
      <c r="I2" t="inlineStr">
        <is>
          <t>已完成</t>
        </is>
      </c>
    </row>
    <row r="3">
      <c r="A3" t="inlineStr">
        <is>
          <t>SO-1002</t>
        </is>
      </c>
      <c r="B3" t="inlineStr">
        <is>
          <t>杭州天工电子</t>
        </is>
      </c>
      <c r="C3" t="inlineStr">
        <is>
          <t>华东</t>
        </is>
      </c>
      <c r="D3" t="inlineStr">
        <is>
          <t>无线键盘</t>
        </is>
      </c>
      <c r="E3" t="n">
        <v>89</v>
      </c>
      <c r="F3" t="n">
        <v>20</v>
      </c>
      <c r="G3" t="n">
        <v>1780</v>
      </c>
      <c r="H3" t="inlineStr">
        <is>
          <t>2026-10-08</t>
        </is>
      </c>
      <c r="I3" t="inlineStr">
        <is>
          <t>已发货</t>
        </is>
      </c>
    </row>
    <row r="4">
      <c r="A4" t="inlineStr">
        <is>
          <t>SO-1003</t>
        </is>
      </c>
      <c r="B4" t="inlineStr">
        <is>
          <t>北京华信科技</t>
        </is>
      </c>
      <c r="C4" t="inlineStr">
        <is>
          <t>华北</t>
        </is>
      </c>
      <c r="D4" t="inlineStr">
        <is>
          <t>27寸显示器</t>
        </is>
      </c>
      <c r="E4" t="n">
        <v>950</v>
      </c>
      <c r="F4" t="n">
        <v>5</v>
      </c>
      <c r="G4" t="n">
        <v>4750</v>
      </c>
      <c r="H4" t="inlineStr">
        <is>
          <t>2026-10-09</t>
        </is>
      </c>
      <c r="I4" t="inlineStr">
        <is>
          <t>进行中</t>
        </is>
      </c>
    </row>
    <row r="5">
      <c r="A5" t="inlineStr">
        <is>
          <t>SO-1004</t>
        </is>
      </c>
      <c r="B5" t="inlineStr">
        <is>
          <t>广州南方数码</t>
        </is>
      </c>
      <c r="C5" t="inlineStr">
        <is>
          <t>华南</t>
        </is>
      </c>
      <c r="D5" t="inlineStr">
        <is>
          <t>USB扩展坞</t>
        </is>
      </c>
      <c r="E5" t="n">
        <v>45.5</v>
      </c>
      <c r="F5" t="n">
        <v>40</v>
      </c>
      <c r="G5" t="n">
        <v>1820</v>
      </c>
      <c r="H5" t="inlineStr">
        <is>
          <t>2026-10-10</t>
        </is>
      </c>
      <c r="I5" t="inlineStr">
        <is>
          <t>待处理</t>
        </is>
      </c>
    </row>
    <row r="6">
      <c r="A6" t="inlineStr">
        <is>
          <t>SO-1005</t>
        </is>
      </c>
      <c r="B6" t="inlineStr">
        <is>
          <t>深圳星辰网络</t>
        </is>
      </c>
      <c r="C6" t="inlineStr">
        <is>
          <t>华南</t>
        </is>
      </c>
      <c r="D6" t="inlineStr">
        <is>
          <t>千兆路由器</t>
        </is>
      </c>
      <c r="E6" t="n">
        <v>220</v>
      </c>
      <c r="F6" t="n">
        <v>12</v>
      </c>
      <c r="G6" t="n">
        <v>2640</v>
      </c>
      <c r="H6" t="inlineStr">
        <is>
          <t>2026-10-11</t>
        </is>
      </c>
      <c r="I6" t="inlineStr">
        <is>
          <t>已发货</t>
        </is>
      </c>
    </row>
    <row r="7">
      <c r="A7" t="inlineStr">
        <is>
          <t>SO-1006</t>
        </is>
      </c>
      <c r="B7" t="inlineStr">
        <is>
          <t>成都云端软件</t>
        </is>
      </c>
      <c r="C7" t="inlineStr">
        <is>
          <t>西南</t>
        </is>
      </c>
      <c r="D7" t="inlineStr">
        <is>
          <t>移动硬盘2TB</t>
        </is>
      </c>
      <c r="E7" t="n">
        <v>480</v>
      </c>
      <c r="F7" t="n">
        <v>6</v>
      </c>
      <c r="G7" t="n">
        <v>2880</v>
      </c>
      <c r="H7" t="inlineStr">
        <is>
          <t>2026-10-11</t>
        </is>
      </c>
      <c r="I7" t="inlineStr">
        <is>
          <t>未开始</t>
        </is>
      </c>
    </row>
    <row r="8">
      <c r="A8" t="inlineStr">
        <is>
          <t>SO-1007</t>
        </is>
      </c>
      <c r="B8" t="inlineStr">
        <is>
          <t>上海雅云商贸</t>
        </is>
      </c>
      <c r="C8" t="inlineStr">
        <is>
          <t>华东</t>
        </is>
      </c>
      <c r="D8" t="inlineStr">
        <is>
          <t>A4激光打印机</t>
        </is>
      </c>
      <c r="E8" t="n">
        <v>1200</v>
      </c>
      <c r="F8" t="n">
        <v>3</v>
      </c>
      <c r="G8" t="n">
        <v>3600</v>
      </c>
      <c r="H8" t="inlineStr">
        <is>
          <t>2026-10-12</t>
        </is>
      </c>
      <c r="I8" t="inlineStr">
        <is>
          <t>已完成</t>
        </is>
      </c>
    </row>
    <row r="9">
      <c r="A9" t="inlineStr">
        <is>
          <t>SO-1008</t>
        </is>
      </c>
      <c r="B9" t="inlineStr">
        <is>
          <t>武汉江汉实业</t>
        </is>
      </c>
      <c r="C9" t="inlineStr">
        <is>
          <t>华中</t>
        </is>
      </c>
      <c r="D9" t="inlineStr">
        <is>
          <t>无线鼠标</t>
        </is>
      </c>
      <c r="E9" t="n">
        <v>39</v>
      </c>
      <c r="F9" t="n">
        <v>100</v>
      </c>
      <c r="G9" t="n">
        <v>3900</v>
      </c>
      <c r="H9" t="inlineStr">
        <is>
          <t>2026-10-13</t>
        </is>
      </c>
      <c r="I9" t="inlineStr">
        <is>
          <t>已发货</t>
        </is>
      </c>
    </row>
    <row r="10">
      <c r="A10" t="inlineStr">
        <is>
          <t>SO-1009</t>
        </is>
      </c>
      <c r="B10" t="inlineStr">
        <is>
          <t>南京金陵电子</t>
        </is>
      </c>
      <c r="C10" t="inlineStr">
        <is>
          <t>华东</t>
        </is>
      </c>
      <c r="D10" t="inlineStr">
        <is>
          <t>机械键盘</t>
        </is>
      </c>
      <c r="E10" t="n">
        <v>199</v>
      </c>
      <c r="F10" t="n">
        <v>15</v>
      </c>
      <c r="G10" t="n">
        <v>2985</v>
      </c>
      <c r="H10" t="inlineStr">
        <is>
          <t>2026-10-14</t>
        </is>
      </c>
      <c r="I10" t="inlineStr">
        <is>
          <t>已完成</t>
        </is>
      </c>
    </row>
    <row r="11">
      <c r="A11" t="inlineStr">
        <is>
          <t>SO-1010</t>
        </is>
      </c>
      <c r="B11" t="inlineStr">
        <is>
          <t>天津海河贸易</t>
        </is>
      </c>
      <c r="C11" t="inlineStr">
        <is>
          <t>华北</t>
        </is>
      </c>
      <c r="D11" t="inlineStr">
        <is>
          <t>显示器支架</t>
        </is>
      </c>
      <c r="E11" t="n">
        <v>129</v>
      </c>
      <c r="F11" t="n">
        <v>8</v>
      </c>
      <c r="G11" t="n">
        <v>1032</v>
      </c>
      <c r="H11" t="inlineStr">
        <is>
          <t>2026-10-15</t>
        </is>
      </c>
      <c r="I11" t="inlineStr">
        <is>
          <t>待处理</t>
        </is>
      </c>
    </row>
    <row r="12">
      <c r="A12" t="inlineStr">
        <is>
          <t>SO-1011</t>
        </is>
      </c>
      <c r="B12" t="inlineStr">
        <is>
          <t>重庆山城实业</t>
        </is>
      </c>
      <c r="C12" t="inlineStr">
        <is>
          <t>西南</t>
        </is>
      </c>
      <c r="D12" t="inlineStr">
        <is>
          <t>网络摄像头</t>
        </is>
      </c>
      <c r="E12" t="n">
        <v>260</v>
      </c>
      <c r="F12" t="n">
        <v>9</v>
      </c>
      <c r="G12" t="n">
        <v>2340</v>
      </c>
      <c r="H12" t="inlineStr">
        <is>
          <t>2026-10-15</t>
        </is>
      </c>
      <c r="I12" t="inlineStr">
        <is>
          <t>进行中</t>
        </is>
      </c>
    </row>
    <row r="13">
      <c r="A13" t="inlineStr">
        <is>
          <t>SO-1012</t>
        </is>
      </c>
      <c r="B13" t="inlineStr">
        <is>
          <t>西安秦岭信息</t>
        </is>
      </c>
      <c r="C13" t="inlineStr">
        <is>
          <t>西北</t>
        </is>
      </c>
      <c r="D13" t="inlineStr">
        <is>
          <t>服务器机箱</t>
        </is>
      </c>
      <c r="E13" t="n">
        <v>890</v>
      </c>
      <c r="F13" t="n">
        <v>4</v>
      </c>
      <c r="G13" t="n">
        <v>3560</v>
      </c>
      <c r="H13" t="inlineStr">
        <is>
          <t>2026-10-16</t>
        </is>
      </c>
      <c r="I13" t="inlineStr">
        <is>
          <t>未开始</t>
        </is>
      </c>
    </row>
    <row r="14">
      <c r="A14" t="inlineStr">
        <is>
          <t>SO-1013</t>
        </is>
      </c>
      <c r="B14" t="inlineStr">
        <is>
          <t>郑州中原网络</t>
        </is>
      </c>
      <c r="C14" t="inlineStr">
        <is>
          <t>华中</t>
        </is>
      </c>
      <c r="D14" t="inlineStr">
        <is>
          <t>UPS电源</t>
        </is>
      </c>
      <c r="E14" t="n">
        <v>750</v>
      </c>
      <c r="F14" t="n">
        <v>2</v>
      </c>
      <c r="G14" t="n">
        <v>1500</v>
      </c>
      <c r="H14" t="inlineStr">
        <is>
          <t>2026-10-17</t>
        </is>
      </c>
      <c r="I14" t="inlineStr">
        <is>
          <t>已发货</t>
        </is>
      </c>
    </row>
    <row r="15">
      <c r="A15" t="inlineStr">
        <is>
          <t>SO-1014</t>
        </is>
      </c>
      <c r="B15" t="inlineStr">
        <is>
          <t>苏州工业园区</t>
        </is>
      </c>
      <c r="C15" t="inlineStr">
        <is>
          <t>华东</t>
        </is>
      </c>
      <c r="D15" t="inlineStr">
        <is>
          <t>会议平板</t>
        </is>
      </c>
      <c r="E15" t="n">
        <v>3200</v>
      </c>
      <c r="F15" t="n">
        <v>1</v>
      </c>
      <c r="G15" t="n">
        <v>3200</v>
      </c>
      <c r="H15" t="inlineStr">
        <is>
          <t>2026-10-17</t>
        </is>
      </c>
      <c r="I15" t="inlineStr">
        <is>
          <t>已完成</t>
        </is>
      </c>
    </row>
    <row r="16">
      <c r="A16" t="inlineStr">
        <is>
          <t>SO-1015</t>
        </is>
      </c>
      <c r="B16" t="inlineStr">
        <is>
          <t>青岛海蓝贸易</t>
        </is>
      </c>
      <c r="C16" t="inlineStr">
        <is>
          <t>华东</t>
        </is>
      </c>
      <c r="D16" t="inlineStr">
        <is>
          <t>蓝牙耳机</t>
        </is>
      </c>
      <c r="E16" t="n">
        <v>99</v>
      </c>
      <c r="F16" t="n">
        <v>30</v>
      </c>
      <c r="G16" t="n">
        <v>2970</v>
      </c>
      <c r="H16" t="inlineStr">
        <is>
          <t>2026-10-17</t>
        </is>
      </c>
      <c r="I16" t="inlineStr">
        <is>
          <t>待处理</t>
        </is>
      </c>
    </row>
    <row r="17">
      <c r="A17" t="inlineStr">
        <is>
          <t>SO-1016</t>
        </is>
      </c>
      <c r="B17" t="inlineStr">
        <is>
          <t>厦门鹭岛科技</t>
        </is>
      </c>
      <c r="C17" t="inlineStr">
        <is>
          <t>华南</t>
        </is>
      </c>
      <c r="D17" t="inlineStr">
        <is>
          <t>充电宝</t>
        </is>
      </c>
      <c r="E17" t="n">
        <v>79</v>
      </c>
      <c r="F17" t="n">
        <v>25</v>
      </c>
      <c r="G17" t="n">
        <v>1975</v>
      </c>
      <c r="H17" t="inlineStr">
        <is>
          <t>2026-10-18</t>
        </is>
      </c>
      <c r="I17" t="inlineStr">
        <is>
          <t>进行中</t>
        </is>
      </c>
    </row>
    <row r="19">
      <c r="A19" s="2" t="inlineStr">
        <is>
          <t>按区域统计金额合计（公式）</t>
        </is>
      </c>
    </row>
    <row r="20">
      <c r="A20" t="inlineStr">
        <is>
          <t>区域</t>
        </is>
      </c>
      <c r="B20" t="inlineStr">
        <is>
          <t>金额合计</t>
        </is>
      </c>
    </row>
    <row r="21">
      <c r="A21" t="inlineStr">
        <is>
          <t>华东</t>
        </is>
      </c>
      <c r="B21">
        <f>SUMIFS($G$2:$G$17,$C$2:$C$17,A21)</f>
        <v/>
      </c>
    </row>
    <row r="22">
      <c r="A22" t="inlineStr">
        <is>
          <t>华南</t>
        </is>
      </c>
      <c r="B22">
        <f>SUMIFS($G$2:$G$17,$C$2:$C$17,A22)</f>
        <v/>
      </c>
    </row>
    <row r="23">
      <c r="A23" t="inlineStr">
        <is>
          <t>华北</t>
        </is>
      </c>
      <c r="B23">
        <f>SUMIFS($G$2:$G$17,$C$2:$C$17,A23)</f>
        <v/>
      </c>
    </row>
    <row r="24">
      <c r="A24" t="inlineStr">
        <is>
          <t>西南</t>
        </is>
      </c>
      <c r="B24">
        <f>SUMIFS($G$2:$G$17,$C$2:$C$17,A24)</f>
        <v/>
      </c>
    </row>
    <row r="25">
      <c r="A25" t="inlineStr">
        <is>
          <t>华中</t>
        </is>
      </c>
      <c r="B25">
        <f>SUMIFS($G$2:$G$17,$C$2:$C$17,A25)</f>
        <v/>
      </c>
    </row>
    <row r="26">
      <c r="A26" t="inlineStr">
        <is>
          <t>西北</t>
        </is>
      </c>
      <c r="B26">
        <f>SUMIFS($G$2:$G$17,$C$2:$C$17,A26)</f>
        <v/>
      </c>
    </row>
    <row r="27">
      <c r="A27" s="3" t="inlineStr">
        <is>
          <t>合计</t>
        </is>
      </c>
      <c r="B27" s="3">
        <f>SUM(B21:B26)</f>
        <v/>
      </c>
    </row>
    <row r="29">
      <c r="A29" s="2" t="inlineStr">
        <is>
          <t>按状态统计订单数（公式）</t>
        </is>
      </c>
    </row>
    <row r="30">
      <c r="A30" t="inlineStr">
        <is>
          <t>状态</t>
        </is>
      </c>
      <c r="B30" t="inlineStr">
        <is>
          <t>订单数</t>
        </is>
      </c>
    </row>
    <row r="31">
      <c r="A31" t="inlineStr">
        <is>
          <t>已完成</t>
        </is>
      </c>
      <c r="B31">
        <f>COUNTIF($I$2:$I$17,A31)</f>
        <v/>
      </c>
    </row>
    <row r="32">
      <c r="A32" t="inlineStr">
        <is>
          <t>已发货</t>
        </is>
      </c>
      <c r="B32">
        <f>COUNTIF($I$2:$I$17,A32)</f>
        <v/>
      </c>
    </row>
    <row r="33">
      <c r="A33" t="inlineStr">
        <is>
          <t>进行中</t>
        </is>
      </c>
      <c r="B33">
        <f>COUNTIF($I$2:$I$17,A33)</f>
        <v/>
      </c>
    </row>
    <row r="34">
      <c r="A34" t="inlineStr">
        <is>
          <t>待处理</t>
        </is>
      </c>
      <c r="B34">
        <f>COUNTIF($I$2:$I$17,A34)</f>
        <v/>
      </c>
    </row>
    <row r="35">
      <c r="A35" t="inlineStr">
        <is>
          <t>未开始</t>
        </is>
      </c>
      <c r="B35">
        <f>COUNTIF($I$2:$I$17,A35)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2026-10-17T09:15:59Z</dcterms:created>
  <dcterms:modified xmlns:dcterms="http://purl.org/dc/terms/" xmlns:xsi="http://www.w3.org/2001/XMLSchema-instance" xsi:type="dcterms:W3CDTF">2026-10-17T09:15:59Z</dcterms:modified>
</cp:coreProperties>
</file>